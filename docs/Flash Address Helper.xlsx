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Repos\dodona-flight-code\docs\"/>
    </mc:Choice>
  </mc:AlternateContent>
  <xr:revisionPtr revIDLastSave="0" documentId="13_ncr:1_{F0AA744C-8B2A-41CA-888A-F417689DCB63}" xr6:coauthVersionLast="47" xr6:coauthVersionMax="47" xr10:uidLastSave="{00000000-0000-0000-0000-000000000000}"/>
  <bookViews>
    <workbookView xWindow="2340" yWindow="2220" windowWidth="23730" windowHeight="13980" xr2:uid="{00000000-000D-0000-FFFF-FFFF00000000}"/>
  </bookViews>
  <sheets>
    <sheet name="Upper" sheetId="1" r:id="rId1"/>
    <sheet name="Lower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9" i="1" l="1"/>
  <c r="I35" i="1"/>
  <c r="I34" i="1"/>
  <c r="I33" i="1"/>
  <c r="I32" i="1"/>
  <c r="I31" i="1"/>
  <c r="I30" i="1"/>
  <c r="I28" i="1"/>
  <c r="D35" i="1"/>
  <c r="D34" i="1"/>
  <c r="D33" i="1"/>
  <c r="D32" i="1"/>
  <c r="D31" i="1"/>
  <c r="D30" i="1"/>
  <c r="D28" i="1"/>
  <c r="D29" i="1"/>
  <c r="C2" i="1"/>
  <c r="D8" i="4" l="1"/>
  <c r="D9" i="4"/>
  <c r="D10" i="4"/>
  <c r="D11" i="4"/>
  <c r="D12" i="4"/>
  <c r="D13" i="4"/>
  <c r="D14" i="4"/>
  <c r="D15" i="4"/>
  <c r="B40" i="4"/>
  <c r="B35" i="4"/>
  <c r="B31" i="4"/>
  <c r="B27" i="4"/>
  <c r="B21" i="4"/>
  <c r="B22" i="4" s="1"/>
  <c r="B23" i="4" s="1"/>
  <c r="D2" i="1"/>
  <c r="D10" i="1" l="1"/>
  <c r="E10" i="1" s="1"/>
  <c r="B31" i="1"/>
  <c r="M15" i="4"/>
  <c r="I35" i="4" s="1"/>
  <c r="I13" i="4"/>
  <c r="H15" i="4"/>
  <c r="I15" i="4"/>
  <c r="M16" i="1"/>
  <c r="M15" i="1"/>
  <c r="M14" i="1"/>
  <c r="M13" i="1"/>
  <c r="D9" i="1"/>
  <c r="D11" i="1"/>
  <c r="E11" i="1" s="1"/>
  <c r="F11" i="1" s="1"/>
  <c r="D13" i="1"/>
  <c r="I13" i="1" s="1"/>
  <c r="D14" i="1"/>
  <c r="G14" i="1" s="1"/>
  <c r="D15" i="1"/>
  <c r="E15" i="1" s="1"/>
  <c r="F15" i="1" s="1"/>
  <c r="M12" i="1"/>
  <c r="B40" i="1"/>
  <c r="D16" i="4"/>
  <c r="I16" i="4" s="1"/>
  <c r="G16" i="4"/>
  <c r="M16" i="4"/>
  <c r="I36" i="4" s="1"/>
  <c r="C2" i="4"/>
  <c r="D2" i="4" s="1"/>
  <c r="I8" i="4"/>
  <c r="H8" i="4"/>
  <c r="I9" i="4"/>
  <c r="I10" i="4"/>
  <c r="E10" i="4"/>
  <c r="F10" i="4" s="1"/>
  <c r="E11" i="4"/>
  <c r="F11" i="4" s="1"/>
  <c r="G12" i="4"/>
  <c r="I14" i="4"/>
  <c r="K8" i="4"/>
  <c r="L8" i="4" s="1"/>
  <c r="D28" i="4" s="1"/>
  <c r="M8" i="4"/>
  <c r="I28" i="4" s="1"/>
  <c r="J9" i="4"/>
  <c r="K9" i="4" s="1"/>
  <c r="L9" i="4" s="1"/>
  <c r="D29" i="4" s="1"/>
  <c r="M9" i="4"/>
  <c r="I29" i="4" s="1"/>
  <c r="M10" i="4"/>
  <c r="I30" i="4" s="1"/>
  <c r="H11" i="4"/>
  <c r="I11" i="4"/>
  <c r="M11" i="4"/>
  <c r="I31" i="4" s="1"/>
  <c r="M12" i="4"/>
  <c r="I32" i="4" s="1"/>
  <c r="M13" i="4"/>
  <c r="I33" i="4" s="1"/>
  <c r="H14" i="4"/>
  <c r="M14" i="4"/>
  <c r="I34" i="4" s="1"/>
  <c r="D12" i="1"/>
  <c r="G12" i="1" s="1"/>
  <c r="D16" i="1"/>
  <c r="E16" i="1" s="1"/>
  <c r="F16" i="1" s="1"/>
  <c r="M11" i="1"/>
  <c r="M10" i="1"/>
  <c r="M9" i="1"/>
  <c r="K9" i="1"/>
  <c r="L9" i="1" s="1"/>
  <c r="B21" i="1"/>
  <c r="B22" i="1" s="1"/>
  <c r="B23" i="1" s="1"/>
  <c r="B35" i="1"/>
  <c r="B27" i="1"/>
  <c r="G8" i="4"/>
  <c r="E8" i="4"/>
  <c r="G14" i="4"/>
  <c r="H9" i="4"/>
  <c r="G9" i="4"/>
  <c r="E9" i="4"/>
  <c r="F9" i="4" s="1"/>
  <c r="H10" i="4"/>
  <c r="G10" i="4"/>
  <c r="F8" i="4" l="1"/>
  <c r="C5" i="4"/>
  <c r="J10" i="1"/>
  <c r="C5" i="1"/>
  <c r="H12" i="4"/>
  <c r="J10" i="4"/>
  <c r="K10" i="4" s="1"/>
  <c r="L10" i="4" s="1"/>
  <c r="D30" i="4" s="1"/>
  <c r="G11" i="4"/>
  <c r="I12" i="4"/>
  <c r="E15" i="4"/>
  <c r="F15" i="4" s="1"/>
  <c r="E12" i="4"/>
  <c r="F12" i="4" s="1"/>
  <c r="H11" i="1"/>
  <c r="G11" i="1"/>
  <c r="G16" i="1"/>
  <c r="I11" i="1"/>
  <c r="I10" i="1"/>
  <c r="H10" i="1"/>
  <c r="H12" i="1"/>
  <c r="E9" i="1"/>
  <c r="G10" i="1"/>
  <c r="H9" i="1"/>
  <c r="G9" i="1"/>
  <c r="I14" i="1"/>
  <c r="I9" i="1"/>
  <c r="E2" i="1"/>
  <c r="G15" i="1"/>
  <c r="E14" i="1"/>
  <c r="F14" i="1" s="1"/>
  <c r="H15" i="1"/>
  <c r="H14" i="1"/>
  <c r="I12" i="1"/>
  <c r="I15" i="1"/>
  <c r="J11" i="1"/>
  <c r="K10" i="1"/>
  <c r="L10" i="1" s="1"/>
  <c r="E2" i="4"/>
  <c r="F10" i="1"/>
  <c r="H16" i="1"/>
  <c r="H13" i="4"/>
  <c r="E14" i="4"/>
  <c r="F14" i="4" s="1"/>
  <c r="H16" i="4"/>
  <c r="E13" i="1"/>
  <c r="F13" i="1" s="1"/>
  <c r="G13" i="4"/>
  <c r="E16" i="4"/>
  <c r="F16" i="4" s="1"/>
  <c r="E12" i="1"/>
  <c r="F12" i="1" s="1"/>
  <c r="I16" i="1"/>
  <c r="E13" i="4"/>
  <c r="G13" i="1"/>
  <c r="G15" i="4"/>
  <c r="H13" i="1"/>
  <c r="J11" i="4" l="1"/>
  <c r="K11" i="4" s="1"/>
  <c r="L11" i="4" s="1"/>
  <c r="D31" i="4" s="1"/>
  <c r="C4" i="4"/>
  <c r="B4" i="4" s="1"/>
  <c r="B5" i="4"/>
  <c r="D5" i="4"/>
  <c r="F9" i="1"/>
  <c r="E5" i="1" s="1"/>
  <c r="E4" i="1" s="1"/>
  <c r="D5" i="1"/>
  <c r="D4" i="1" s="1"/>
  <c r="B5" i="1"/>
  <c r="C4" i="1"/>
  <c r="B4" i="1" s="1"/>
  <c r="K11" i="1"/>
  <c r="L11" i="1" s="1"/>
  <c r="J12" i="1"/>
  <c r="J12" i="4"/>
  <c r="F13" i="4"/>
  <c r="D4" i="4"/>
  <c r="E5" i="4" l="1"/>
  <c r="E4" i="4" s="1"/>
  <c r="K12" i="4"/>
  <c r="L12" i="4" s="1"/>
  <c r="D32" i="4" s="1"/>
  <c r="J13" i="4"/>
  <c r="J13" i="1"/>
  <c r="K12" i="1"/>
  <c r="L12" i="1" s="1"/>
  <c r="J14" i="1" l="1"/>
  <c r="K13" i="1"/>
  <c r="L13" i="1" s="1"/>
  <c r="J14" i="4"/>
  <c r="K13" i="4"/>
  <c r="L13" i="4" s="1"/>
  <c r="D33" i="4" s="1"/>
  <c r="J15" i="4" l="1"/>
  <c r="K14" i="4"/>
  <c r="L14" i="4" s="1"/>
  <c r="D34" i="4" s="1"/>
  <c r="K14" i="1"/>
  <c r="L14" i="1" s="1"/>
  <c r="J15" i="1"/>
  <c r="J16" i="1" s="1"/>
  <c r="J17" i="1" s="1"/>
  <c r="K15" i="1" l="1"/>
  <c r="L15" i="1" s="1"/>
  <c r="J16" i="4"/>
  <c r="K15" i="4"/>
  <c r="L15" i="4" s="1"/>
  <c r="D35" i="4" s="1"/>
  <c r="K16" i="4" l="1"/>
  <c r="L16" i="4" s="1"/>
  <c r="D36" i="4" s="1"/>
  <c r="I17" i="4"/>
  <c r="K16" i="1"/>
  <c r="L16" i="1" s="1"/>
</calcChain>
</file>

<file path=xl/sharedStrings.xml><?xml version="1.0" encoding="utf-8"?>
<sst xmlns="http://schemas.openxmlformats.org/spreadsheetml/2006/main" count="114" uniqueCount="59">
  <si>
    <t>7FFFFF</t>
  </si>
  <si>
    <t>Allocation Name</t>
  </si>
  <si>
    <t>Desired Size (kBytes)</t>
  </si>
  <si>
    <t>Flash Specs</t>
  </si>
  <si>
    <t>Highest Address (HEX)</t>
  </si>
  <si>
    <t>RESERVED</t>
  </si>
  <si>
    <t>MISC</t>
  </si>
  <si>
    <t>MAG_COEFF</t>
  </si>
  <si>
    <t>HEXFILE</t>
  </si>
  <si>
    <t>Desired Size (HEX)</t>
  </si>
  <si>
    <t>Desired Size (Bytes)</t>
  </si>
  <si>
    <t>Desired Size (MBytes)</t>
  </si>
  <si>
    <t>Total</t>
  </si>
  <si>
    <t>HEX</t>
  </si>
  <si>
    <t>kBytes</t>
  </si>
  <si>
    <t>Bytes</t>
  </si>
  <si>
    <t>Mbytes</t>
  </si>
  <si>
    <t>Running Size</t>
  </si>
  <si>
    <t>Location</t>
  </si>
  <si>
    <t>A0000</t>
  </si>
  <si>
    <t>61F000</t>
  </si>
  <si>
    <t>SWAP</t>
  </si>
  <si>
    <t>Leftover</t>
  </si>
  <si>
    <t>Blocks</t>
  </si>
  <si>
    <t>Sectors</t>
  </si>
  <si>
    <t>Pages</t>
  </si>
  <si>
    <t>Location (padded)</t>
  </si>
  <si>
    <t>Size (padded)</t>
  </si>
  <si>
    <t>GNC_INPUTS</t>
  </si>
  <si>
    <t>HEX Start</t>
  </si>
  <si>
    <t>HEX Add</t>
  </si>
  <si>
    <t>HEX Finish</t>
  </si>
  <si>
    <t>7c2000</t>
  </si>
  <si>
    <t>Hex to Bytes</t>
  </si>
  <si>
    <t>Bytes to Hex</t>
  </si>
  <si>
    <t>kBytes to Hex</t>
  </si>
  <si>
    <t>Mbytes to Hex</t>
  </si>
  <si>
    <t>Add Hex Values</t>
  </si>
  <si>
    <r>
      <t xml:space="preserve">COPY TO ADDRESS_UPPER.H
</t>
    </r>
    <r>
      <rPr>
        <sz val="16"/>
        <rFont val="Arial"/>
        <family val="2"/>
      </rPr>
      <t>//Size Allocations</t>
    </r>
  </si>
  <si>
    <r>
      <t xml:space="preserve">COPY TO ADDRESS_UPPER.H
</t>
    </r>
    <r>
      <rPr>
        <sz val="16"/>
        <rFont val="Arial"/>
        <family val="2"/>
      </rPr>
      <t>//Address Locations</t>
    </r>
  </si>
  <si>
    <t>Description</t>
  </si>
  <si>
    <t>MACROS</t>
  </si>
  <si>
    <t>CONFIG</t>
  </si>
  <si>
    <t>Macros are stored here. Refer to macros.c</t>
  </si>
  <si>
    <t>Associated with reboot counter. Refer to main.c</t>
  </si>
  <si>
    <t>Doesn't seem like it's used for much.</t>
  </si>
  <si>
    <t>For bootloader</t>
  </si>
  <si>
    <t>Stores global config data.</t>
  </si>
  <si>
    <t>Doesn't seem like it is assigned anywhere.</t>
  </si>
  <si>
    <r>
      <t xml:space="preserve">COPY TO ADDRESS_LOWER.H
</t>
    </r>
    <r>
      <rPr>
        <sz val="16"/>
        <rFont val="Arial"/>
        <family val="2"/>
      </rPr>
      <t>//Address Locations</t>
    </r>
  </si>
  <si>
    <r>
      <t xml:space="preserve">COPY TO ADDRESS_LOWER.H
</t>
    </r>
    <r>
      <rPr>
        <sz val="16"/>
        <rFont val="Arial"/>
        <family val="2"/>
      </rPr>
      <t>//Size Allocations</t>
    </r>
  </si>
  <si>
    <t>TEXT_MSG</t>
  </si>
  <si>
    <t>For GNC data. Seems only used in Aeneas.</t>
  </si>
  <si>
    <t>Doesn't seem to be used at all.</t>
  </si>
  <si>
    <t>For geomagnetic model. Refer to geomag.c</t>
  </si>
  <si>
    <t>PAYLOAD_DATA</t>
  </si>
  <si>
    <t>PAYLOAD_PROGRAM</t>
  </si>
  <si>
    <t>Payload program storage. Refer to maestro_flash.c</t>
  </si>
  <si>
    <t>For storing payload data before transmission.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</si>
</sst>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0"/>
      <color indexed="17"/>
      <name val="Arial"/>
      <family val="2"/>
    </font>
    <font>
      <b/>
      <sz val="28"/>
      <name val="Arial"/>
      <family val="2"/>
    </font>
    <font>
      <sz val="10"/>
      <name val="Arial"/>
      <family val="2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7" fillId="6" borderId="2" applyNumberFormat="0" applyAlignment="0" applyProtection="0"/>
    <xf numFmtId="0" fontId="8" fillId="7" borderId="2" applyNumberFormat="0" applyAlignment="0" applyProtection="0"/>
  </cellStyleXfs>
  <cellXfs count="36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2" borderId="1" xfId="0" applyFill="1" applyBorder="1"/>
    <xf numFmtId="0" fontId="4" fillId="0" borderId="0" xfId="0" applyFont="1"/>
    <xf numFmtId="0" fontId="0" fillId="0" borderId="0" xfId="0" applyBorder="1"/>
    <xf numFmtId="0" fontId="3" fillId="0" borderId="1" xfId="0" applyFont="1" applyBorder="1" applyAlignment="1">
      <alignment horizontal="center"/>
    </xf>
    <xf numFmtId="0" fontId="0" fillId="3" borderId="1" xfId="0" applyFill="1" applyBorder="1" applyAlignment="1">
      <alignment horizontal="right"/>
    </xf>
    <xf numFmtId="0" fontId="0" fillId="3" borderId="1" xfId="0" applyFill="1" applyBorder="1"/>
    <xf numFmtId="0" fontId="2" fillId="3" borderId="1" xfId="0" applyFont="1" applyFill="1" applyBorder="1"/>
    <xf numFmtId="0" fontId="4" fillId="3" borderId="1" xfId="0" applyFont="1" applyFill="1" applyBorder="1"/>
    <xf numFmtId="0" fontId="0" fillId="0" borderId="1" xfId="0" applyFill="1" applyBorder="1" applyAlignment="1">
      <alignment horizontal="right"/>
    </xf>
    <xf numFmtId="0" fontId="0" fillId="0" borderId="1" xfId="0" applyFill="1" applyBorder="1"/>
    <xf numFmtId="0" fontId="7" fillId="6" borderId="2" xfId="1" applyAlignment="1">
      <alignment horizontal="right"/>
    </xf>
    <xf numFmtId="0" fontId="8" fillId="7" borderId="2" xfId="2" applyAlignment="1">
      <alignment horizontal="right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6" borderId="1" xfId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0" borderId="1" xfId="0" applyFont="1" applyBorder="1"/>
    <xf numFmtId="0" fontId="7" fillId="6" borderId="1" xfId="1" applyBorder="1" applyAlignment="1">
      <alignment horizontal="right"/>
    </xf>
    <xf numFmtId="0" fontId="8" fillId="7" borderId="1" xfId="2" applyBorder="1"/>
    <xf numFmtId="0" fontId="8" fillId="7" borderId="1" xfId="2" applyBorder="1" applyAlignment="1">
      <alignment horizontal="right"/>
    </xf>
    <xf numFmtId="0" fontId="7" fillId="6" borderId="2" xfId="1" applyAlignment="1">
      <alignment horizontal="center"/>
    </xf>
    <xf numFmtId="0" fontId="0" fillId="3" borderId="0" xfId="0" applyFill="1" applyAlignment="1">
      <alignment horizontal="left"/>
    </xf>
    <xf numFmtId="0" fontId="6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4" borderId="0" xfId="0" applyFill="1" applyAlignment="1">
      <alignment horizontal="left"/>
    </xf>
    <xf numFmtId="0" fontId="5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</cellXfs>
  <cellStyles count="3">
    <cellStyle name="Calculation" xfId="2" builtinId="22"/>
    <cellStyle name="Input" xfId="1" builtinId="20"/>
    <cellStyle name="Normal" xfId="0" builtinId="0"/>
  </cellStyles>
  <dxfs count="2">
    <dxf>
      <font>
        <b/>
        <i val="0"/>
        <condense val="0"/>
        <extend val="0"/>
        <color indexed="8"/>
      </font>
      <fill>
        <patternFill>
          <bgColor indexed="10"/>
        </patternFill>
      </fill>
    </dxf>
    <dxf>
      <font>
        <b/>
        <i val="0"/>
        <condense val="0"/>
        <extend val="0"/>
        <color indexed="8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40"/>
  <sheetViews>
    <sheetView tabSelected="1" topLeftCell="A4" zoomScale="130" zoomScaleNormal="130" workbookViewId="0">
      <selection activeCell="C14" sqref="C14"/>
    </sheetView>
  </sheetViews>
  <sheetFormatPr defaultRowHeight="12.75" x14ac:dyDescent="0.2"/>
  <cols>
    <col min="1" max="1" width="20.28515625" bestFit="1" customWidth="1"/>
    <col min="2" max="2" width="21" customWidth="1"/>
    <col min="3" max="3" width="19.7109375" customWidth="1"/>
    <col min="4" max="4" width="19.42578125" bestFit="1" customWidth="1"/>
    <col min="5" max="6" width="20" bestFit="1" customWidth="1"/>
    <col min="7" max="7" width="8.28515625" customWidth="1"/>
    <col min="8" max="8" width="6.7109375" customWidth="1"/>
    <col min="9" max="9" width="20" customWidth="1"/>
    <col min="10" max="10" width="12.42578125" bestFit="1" customWidth="1"/>
    <col min="11" max="11" width="15.85546875" bestFit="1" customWidth="1"/>
    <col min="12" max="12" width="15.85546875" customWidth="1"/>
    <col min="13" max="13" width="12.42578125" bestFit="1" customWidth="1"/>
    <col min="14" max="14" width="12.5703125" customWidth="1"/>
    <col min="15" max="15" width="14.28515625" bestFit="1" customWidth="1"/>
    <col min="16" max="16" width="3" customWidth="1"/>
    <col min="17" max="17" width="60.7109375" customWidth="1"/>
    <col min="18" max="18" width="56" customWidth="1"/>
  </cols>
  <sheetData>
    <row r="1" spans="1:15" ht="12.75" customHeight="1" x14ac:dyDescent="0.2">
      <c r="A1" s="31" t="s">
        <v>3</v>
      </c>
      <c r="B1" s="32"/>
    </row>
    <row r="2" spans="1:15" ht="12.75" customHeight="1" x14ac:dyDescent="0.25">
      <c r="A2" s="4" t="s">
        <v>4</v>
      </c>
      <c r="B2" s="28" t="s">
        <v>0</v>
      </c>
      <c r="C2" s="2">
        <f>HEX2DEC(B2)+1</f>
        <v>8388608</v>
      </c>
      <c r="D2" s="2">
        <f>C2/1024</f>
        <v>8192</v>
      </c>
      <c r="E2" s="2">
        <f>D2/1024</f>
        <v>8</v>
      </c>
      <c r="F2" s="6"/>
      <c r="G2" s="6"/>
      <c r="H2" s="6"/>
      <c r="I2" s="6"/>
    </row>
    <row r="3" spans="1:15" ht="12.75" customHeight="1" x14ac:dyDescent="0.2">
      <c r="D3" s="1"/>
    </row>
    <row r="4" spans="1:15" ht="12.75" customHeight="1" x14ac:dyDescent="0.2">
      <c r="A4" s="8" t="s">
        <v>22</v>
      </c>
      <c r="B4" s="9" t="str">
        <f>DEC2HEX(C4)</f>
        <v>0</v>
      </c>
      <c r="C4" s="9">
        <f>C2-C5</f>
        <v>0</v>
      </c>
      <c r="D4" s="9">
        <f>D2-D5</f>
        <v>0</v>
      </c>
      <c r="E4" s="9">
        <f>E2-E5</f>
        <v>0</v>
      </c>
    </row>
    <row r="5" spans="1:15" ht="12.75" customHeight="1" x14ac:dyDescent="0.2">
      <c r="A5" s="8" t="s">
        <v>12</v>
      </c>
      <c r="B5" s="10" t="str">
        <f>DEC2HEX(C5)</f>
        <v>800000</v>
      </c>
      <c r="C5" s="11">
        <f>SUM(D9:D16)</f>
        <v>8388608</v>
      </c>
      <c r="D5" s="11">
        <f>SUM(E9:E19)</f>
        <v>8192</v>
      </c>
      <c r="E5" s="11">
        <f>SUM(F9:F19)</f>
        <v>8</v>
      </c>
      <c r="F5" s="5"/>
      <c r="G5" s="5"/>
      <c r="H5" s="5"/>
      <c r="I5" s="5"/>
    </row>
    <row r="6" spans="1:15" ht="12.75" customHeight="1" x14ac:dyDescent="0.2">
      <c r="C6" s="5"/>
      <c r="D6" s="5"/>
      <c r="E6" s="5"/>
      <c r="F6" s="5"/>
      <c r="G6" s="5"/>
      <c r="H6" s="5"/>
      <c r="I6" s="5"/>
      <c r="O6" s="6"/>
    </row>
    <row r="7" spans="1:15" ht="12.75" customHeight="1" x14ac:dyDescent="0.2">
      <c r="C7" s="5"/>
      <c r="D7" s="5"/>
      <c r="E7" s="5"/>
      <c r="F7" s="5"/>
      <c r="G7" s="5"/>
      <c r="H7" s="5"/>
      <c r="I7" s="5"/>
      <c r="O7" s="6"/>
    </row>
    <row r="8" spans="1:15" ht="12.75" customHeight="1" x14ac:dyDescent="0.2">
      <c r="A8" s="17" t="s">
        <v>1</v>
      </c>
      <c r="B8" s="17" t="s">
        <v>9</v>
      </c>
      <c r="C8" s="18" t="s">
        <v>40</v>
      </c>
      <c r="D8" s="17" t="s">
        <v>10</v>
      </c>
      <c r="E8" s="17" t="s">
        <v>2</v>
      </c>
      <c r="F8" s="17" t="s">
        <v>11</v>
      </c>
      <c r="G8" s="17" t="s">
        <v>24</v>
      </c>
      <c r="H8" s="17" t="s">
        <v>23</v>
      </c>
      <c r="I8" s="17" t="s">
        <v>25</v>
      </c>
      <c r="J8" s="17" t="s">
        <v>17</v>
      </c>
      <c r="K8" s="17" t="s">
        <v>18</v>
      </c>
      <c r="L8" s="17" t="s">
        <v>26</v>
      </c>
      <c r="M8" s="17" t="s">
        <v>27</v>
      </c>
      <c r="N8" s="19"/>
    </row>
    <row r="9" spans="1:15" ht="38.25" x14ac:dyDescent="0.2">
      <c r="A9" s="2" t="s">
        <v>5</v>
      </c>
      <c r="B9" s="21">
        <v>10000</v>
      </c>
      <c r="C9" s="20" t="s">
        <v>44</v>
      </c>
      <c r="D9" s="22">
        <f t="shared" ref="D9:D16" si="0">HEX2DEC(B9)</f>
        <v>65536</v>
      </c>
      <c r="E9" s="22">
        <f t="shared" ref="E9:F16" si="1">D9/1024</f>
        <v>64</v>
      </c>
      <c r="F9" s="22">
        <f t="shared" si="1"/>
        <v>6.25E-2</v>
      </c>
      <c r="G9" s="22">
        <f>D9/65536</f>
        <v>1</v>
      </c>
      <c r="H9" s="23">
        <f>D9/4096</f>
        <v>16</v>
      </c>
      <c r="I9" s="22">
        <f>D9/256</f>
        <v>256</v>
      </c>
      <c r="J9" s="22">
        <v>0</v>
      </c>
      <c r="K9" s="22" t="str">
        <f t="shared" ref="K9:K16" si="2">DEC2HEX(J9)</f>
        <v>0</v>
      </c>
      <c r="L9" s="22" t="str">
        <f>REPT("0",6-LEN(K9))&amp;K9</f>
        <v>000000</v>
      </c>
      <c r="M9" s="22" t="str">
        <f t="shared" ref="M9:M16" si="3">REPT("0",6-LEN(B9))&amp;B9</f>
        <v>010000</v>
      </c>
    </row>
    <row r="10" spans="1:15" ht="25.5" x14ac:dyDescent="0.2">
      <c r="A10" s="24" t="s">
        <v>6</v>
      </c>
      <c r="B10" s="21">
        <v>22000</v>
      </c>
      <c r="C10" s="20" t="s">
        <v>45</v>
      </c>
      <c r="D10" s="22">
        <f t="shared" si="0"/>
        <v>139264</v>
      </c>
      <c r="E10" s="22">
        <f>D10/1024</f>
        <v>136</v>
      </c>
      <c r="F10" s="22">
        <f>E10/1024</f>
        <v>0.1328125</v>
      </c>
      <c r="G10" s="22">
        <f t="shared" ref="G10:G16" si="4">D10/65536</f>
        <v>2.125</v>
      </c>
      <c r="H10" s="23">
        <f t="shared" ref="H10:H16" si="5">D10/4096</f>
        <v>34</v>
      </c>
      <c r="I10" s="22">
        <f t="shared" ref="I10:I16" si="6">D10/256</f>
        <v>544</v>
      </c>
      <c r="J10" s="22">
        <f t="shared" ref="J10:J15" si="7">J9+D9</f>
        <v>65536</v>
      </c>
      <c r="K10" s="22" t="str">
        <f t="shared" si="2"/>
        <v>10000</v>
      </c>
      <c r="L10" s="22" t="str">
        <f t="shared" ref="L10:L16" si="8">REPT("0",6-LEN(K10))&amp;K10</f>
        <v>010000</v>
      </c>
      <c r="M10" s="22" t="str">
        <f t="shared" si="3"/>
        <v>022000</v>
      </c>
    </row>
    <row r="11" spans="1:15" ht="38.25" x14ac:dyDescent="0.2">
      <c r="A11" s="24" t="s">
        <v>41</v>
      </c>
      <c r="B11" s="21">
        <v>3000</v>
      </c>
      <c r="C11" s="20" t="s">
        <v>43</v>
      </c>
      <c r="D11" s="22">
        <f t="shared" si="0"/>
        <v>12288</v>
      </c>
      <c r="E11" s="22">
        <f t="shared" si="1"/>
        <v>12</v>
      </c>
      <c r="F11" s="22">
        <f t="shared" si="1"/>
        <v>1.171875E-2</v>
      </c>
      <c r="G11" s="22">
        <f t="shared" si="4"/>
        <v>0.1875</v>
      </c>
      <c r="H11" s="23">
        <f t="shared" si="5"/>
        <v>3</v>
      </c>
      <c r="I11" s="22">
        <f t="shared" si="6"/>
        <v>48</v>
      </c>
      <c r="J11" s="22">
        <f t="shared" si="7"/>
        <v>204800</v>
      </c>
      <c r="K11" s="22" t="str">
        <f t="shared" si="2"/>
        <v>32000</v>
      </c>
      <c r="L11" s="22" t="str">
        <f t="shared" si="8"/>
        <v>032000</v>
      </c>
      <c r="M11" s="22" t="str">
        <f t="shared" si="3"/>
        <v>003000</v>
      </c>
    </row>
    <row r="12" spans="1:15" ht="38.25" x14ac:dyDescent="0.2">
      <c r="A12" s="24" t="s">
        <v>56</v>
      </c>
      <c r="B12" s="21">
        <v>2000</v>
      </c>
      <c r="C12" s="20" t="s">
        <v>57</v>
      </c>
      <c r="D12" s="22">
        <f t="shared" si="0"/>
        <v>8192</v>
      </c>
      <c r="E12" s="22">
        <f t="shared" si="1"/>
        <v>8</v>
      </c>
      <c r="F12" s="22">
        <f t="shared" si="1"/>
        <v>7.8125E-3</v>
      </c>
      <c r="G12" s="22">
        <f t="shared" si="4"/>
        <v>0.125</v>
      </c>
      <c r="H12" s="23">
        <f t="shared" si="5"/>
        <v>2</v>
      </c>
      <c r="I12" s="22">
        <f t="shared" si="6"/>
        <v>32</v>
      </c>
      <c r="J12" s="22">
        <f t="shared" si="7"/>
        <v>217088</v>
      </c>
      <c r="K12" s="22" t="str">
        <f t="shared" si="2"/>
        <v>35000</v>
      </c>
      <c r="L12" s="22" t="str">
        <f t="shared" si="8"/>
        <v>035000</v>
      </c>
      <c r="M12" s="22" t="str">
        <f t="shared" si="3"/>
        <v>002000</v>
      </c>
    </row>
    <row r="13" spans="1:15" ht="15" x14ac:dyDescent="0.2">
      <c r="A13" s="2" t="s">
        <v>8</v>
      </c>
      <c r="B13" s="21">
        <v>100000</v>
      </c>
      <c r="C13" s="20" t="s">
        <v>46</v>
      </c>
      <c r="D13" s="22">
        <f t="shared" si="0"/>
        <v>1048576</v>
      </c>
      <c r="E13" s="22">
        <f t="shared" si="1"/>
        <v>1024</v>
      </c>
      <c r="F13" s="22">
        <f t="shared" si="1"/>
        <v>1</v>
      </c>
      <c r="G13" s="22">
        <f t="shared" si="4"/>
        <v>16</v>
      </c>
      <c r="H13" s="23">
        <f t="shared" si="5"/>
        <v>256</v>
      </c>
      <c r="I13" s="22">
        <f t="shared" si="6"/>
        <v>4096</v>
      </c>
      <c r="J13" s="22">
        <f t="shared" si="7"/>
        <v>225280</v>
      </c>
      <c r="K13" s="22" t="str">
        <f t="shared" si="2"/>
        <v>37000</v>
      </c>
      <c r="L13" s="22" t="str">
        <f t="shared" si="8"/>
        <v>037000</v>
      </c>
      <c r="M13" s="22" t="str">
        <f t="shared" si="3"/>
        <v>100000</v>
      </c>
    </row>
    <row r="14" spans="1:15" ht="38.25" x14ac:dyDescent="0.2">
      <c r="A14" s="24" t="s">
        <v>55</v>
      </c>
      <c r="B14" s="21">
        <v>628000</v>
      </c>
      <c r="C14" s="20" t="s">
        <v>58</v>
      </c>
      <c r="D14" s="22">
        <f t="shared" si="0"/>
        <v>6455296</v>
      </c>
      <c r="E14" s="22">
        <f t="shared" si="1"/>
        <v>6304</v>
      </c>
      <c r="F14" s="22">
        <f>E14/1024</f>
        <v>6.15625</v>
      </c>
      <c r="G14" s="22">
        <f t="shared" si="4"/>
        <v>98.5</v>
      </c>
      <c r="H14" s="23">
        <f t="shared" si="5"/>
        <v>1576</v>
      </c>
      <c r="I14" s="22">
        <f t="shared" si="6"/>
        <v>25216</v>
      </c>
      <c r="J14" s="22">
        <f t="shared" si="7"/>
        <v>1273856</v>
      </c>
      <c r="K14" s="22" t="str">
        <f t="shared" si="2"/>
        <v>137000</v>
      </c>
      <c r="L14" s="22" t="str">
        <f t="shared" si="8"/>
        <v>137000</v>
      </c>
      <c r="M14" s="22" t="str">
        <f t="shared" si="3"/>
        <v>628000</v>
      </c>
      <c r="N14" s="6"/>
    </row>
    <row r="15" spans="1:15" ht="25.5" x14ac:dyDescent="0.2">
      <c r="A15" s="24" t="s">
        <v>42</v>
      </c>
      <c r="B15" s="21" t="s">
        <v>19</v>
      </c>
      <c r="C15" s="20" t="s">
        <v>47</v>
      </c>
      <c r="D15" s="22">
        <f t="shared" si="0"/>
        <v>655360</v>
      </c>
      <c r="E15" s="22">
        <f t="shared" si="1"/>
        <v>640</v>
      </c>
      <c r="F15" s="22">
        <f t="shared" si="1"/>
        <v>0.625</v>
      </c>
      <c r="G15" s="22">
        <f t="shared" si="4"/>
        <v>10</v>
      </c>
      <c r="H15" s="23">
        <f t="shared" si="5"/>
        <v>160</v>
      </c>
      <c r="I15" s="22">
        <f t="shared" si="6"/>
        <v>2560</v>
      </c>
      <c r="J15" s="22">
        <f t="shared" si="7"/>
        <v>7729152</v>
      </c>
      <c r="K15" s="22" t="str">
        <f t="shared" si="2"/>
        <v>75F000</v>
      </c>
      <c r="L15" s="22" t="str">
        <f t="shared" si="8"/>
        <v>75F000</v>
      </c>
      <c r="M15" s="22" t="str">
        <f t="shared" si="3"/>
        <v>0A0000</v>
      </c>
      <c r="N15" s="6"/>
    </row>
    <row r="16" spans="1:15" ht="25.5" x14ac:dyDescent="0.2">
      <c r="A16" s="13" t="s">
        <v>21</v>
      </c>
      <c r="B16" s="21">
        <v>1000</v>
      </c>
      <c r="C16" s="20" t="s">
        <v>48</v>
      </c>
      <c r="D16" s="22">
        <f t="shared" si="0"/>
        <v>4096</v>
      </c>
      <c r="E16" s="22">
        <f t="shared" si="1"/>
        <v>4</v>
      </c>
      <c r="F16" s="22">
        <f t="shared" si="1"/>
        <v>3.90625E-3</v>
      </c>
      <c r="G16" s="22">
        <f t="shared" si="4"/>
        <v>6.25E-2</v>
      </c>
      <c r="H16" s="23">
        <f t="shared" si="5"/>
        <v>1</v>
      </c>
      <c r="I16" s="22">
        <f t="shared" si="6"/>
        <v>16</v>
      </c>
      <c r="J16" s="22">
        <f>J15+D15</f>
        <v>8384512</v>
      </c>
      <c r="K16" s="22" t="str">
        <f t="shared" si="2"/>
        <v>7FF000</v>
      </c>
      <c r="L16" s="22" t="str">
        <f t="shared" si="8"/>
        <v>7FF000</v>
      </c>
      <c r="M16" s="22" t="str">
        <f t="shared" si="3"/>
        <v>001000</v>
      </c>
    </row>
    <row r="17" spans="1:13" x14ac:dyDescent="0.2">
      <c r="D17" s="16"/>
      <c r="E17" s="16"/>
      <c r="F17" s="16"/>
      <c r="G17" s="16"/>
      <c r="H17" s="16"/>
      <c r="I17" s="16"/>
      <c r="J17" s="22">
        <f>J16+D16</f>
        <v>8388608</v>
      </c>
      <c r="K17" s="22"/>
      <c r="L17" s="22"/>
      <c r="M17" s="22"/>
    </row>
    <row r="19" spans="1:13" x14ac:dyDescent="0.2">
      <c r="A19" s="30" t="s">
        <v>33</v>
      </c>
      <c r="B19" s="31"/>
    </row>
    <row r="20" spans="1:13" ht="16.5" customHeight="1" x14ac:dyDescent="0.25">
      <c r="A20" s="3" t="s">
        <v>13</v>
      </c>
      <c r="B20" s="25">
        <v>10000</v>
      </c>
      <c r="D20" s="34" t="s">
        <v>39</v>
      </c>
      <c r="E20" s="34"/>
      <c r="F20" s="34"/>
      <c r="G20" s="34"/>
      <c r="H20" s="34"/>
      <c r="I20" s="35" t="s">
        <v>38</v>
      </c>
      <c r="J20" s="35"/>
      <c r="K20" s="35"/>
      <c r="L20" s="35"/>
    </row>
    <row r="21" spans="1:13" ht="15" customHeight="1" x14ac:dyDescent="0.25">
      <c r="A21" s="3" t="s">
        <v>15</v>
      </c>
      <c r="B21" s="26">
        <f>HEX2DEC(B20)</f>
        <v>65536</v>
      </c>
      <c r="D21" s="34"/>
      <c r="E21" s="34"/>
      <c r="F21" s="34"/>
      <c r="G21" s="34"/>
      <c r="H21" s="34"/>
      <c r="I21" s="35"/>
      <c r="J21" s="35"/>
      <c r="K21" s="35"/>
      <c r="L21" s="35"/>
    </row>
    <row r="22" spans="1:13" ht="15" customHeight="1" x14ac:dyDescent="0.25">
      <c r="A22" s="3" t="s">
        <v>14</v>
      </c>
      <c r="B22" s="26">
        <f>B21/1024</f>
        <v>64</v>
      </c>
      <c r="D22" s="34"/>
      <c r="E22" s="34"/>
      <c r="F22" s="34"/>
      <c r="G22" s="34"/>
      <c r="H22" s="34"/>
      <c r="I22" s="35"/>
      <c r="J22" s="35"/>
      <c r="K22" s="35"/>
      <c r="L22" s="35"/>
    </row>
    <row r="23" spans="1:13" ht="15" customHeight="1" x14ac:dyDescent="0.25">
      <c r="A23" s="3" t="s">
        <v>16</v>
      </c>
      <c r="B23" s="26">
        <f>B22/1024</f>
        <v>6.25E-2</v>
      </c>
      <c r="D23" s="34"/>
      <c r="E23" s="34"/>
      <c r="F23" s="34"/>
      <c r="G23" s="34"/>
      <c r="H23" s="34"/>
      <c r="I23" s="35"/>
      <c r="J23" s="35"/>
      <c r="K23" s="35"/>
      <c r="L23" s="35"/>
    </row>
    <row r="24" spans="1:13" ht="12.75" customHeight="1" x14ac:dyDescent="0.2">
      <c r="D24" s="34"/>
      <c r="E24" s="34"/>
      <c r="F24" s="34"/>
      <c r="G24" s="34"/>
      <c r="H24" s="34"/>
      <c r="I24" s="35"/>
      <c r="J24" s="35"/>
      <c r="K24" s="35"/>
      <c r="L24" s="35"/>
    </row>
    <row r="25" spans="1:13" ht="12.75" customHeight="1" x14ac:dyDescent="0.2">
      <c r="A25" s="30" t="s">
        <v>34</v>
      </c>
      <c r="B25" s="31"/>
      <c r="D25" s="34"/>
      <c r="E25" s="34"/>
      <c r="F25" s="34"/>
      <c r="G25" s="34"/>
      <c r="H25" s="34"/>
      <c r="I25" s="35"/>
      <c r="J25" s="35"/>
      <c r="K25" s="35"/>
      <c r="L25" s="35"/>
    </row>
    <row r="26" spans="1:13" ht="15" customHeight="1" x14ac:dyDescent="0.25">
      <c r="A26" s="3" t="s">
        <v>15</v>
      </c>
      <c r="B26" s="25">
        <v>256</v>
      </c>
      <c r="D26" s="34"/>
      <c r="E26" s="34"/>
      <c r="F26" s="34"/>
      <c r="G26" s="34"/>
      <c r="H26" s="34"/>
      <c r="I26" s="35"/>
      <c r="J26" s="35"/>
      <c r="K26" s="35"/>
      <c r="L26" s="35"/>
    </row>
    <row r="27" spans="1:13" ht="15" customHeight="1" x14ac:dyDescent="0.25">
      <c r="A27" s="3" t="s">
        <v>13</v>
      </c>
      <c r="B27" s="27" t="str">
        <f>DEC2HEX(B26)</f>
        <v>100</v>
      </c>
      <c r="D27" s="34"/>
      <c r="E27" s="34"/>
      <c r="F27" s="34"/>
      <c r="G27" s="34"/>
      <c r="H27" s="34"/>
      <c r="I27" s="35"/>
      <c r="J27" s="35"/>
      <c r="K27" s="35"/>
      <c r="L27" s="35"/>
    </row>
    <row r="28" spans="1:13" x14ac:dyDescent="0.2">
      <c r="D28" s="29" t="str">
        <f t="shared" ref="D28:D35" si="9">LEFT("#define "&amp;A9&amp;"_ADDR"&amp;REPT(" ",40),40)&amp;"0x"&amp;L9</f>
        <v>#define RESERVED_ADDR                   0x000000</v>
      </c>
      <c r="E28" s="29"/>
      <c r="F28" s="29"/>
      <c r="G28" s="29"/>
      <c r="H28" s="29"/>
      <c r="I28" s="33" t="str">
        <f t="shared" ref="I28:I35" si="10">LEFT("#define "&amp;A9&amp;"_ALLOC_SIZE"&amp;REPT(" ",40),40)&amp;"0x"&amp;M9</f>
        <v>#define RESERVED_ALLOC_SIZE             0x010000</v>
      </c>
      <c r="J28" s="33"/>
      <c r="K28" s="33"/>
      <c r="L28" s="33"/>
    </row>
    <row r="29" spans="1:13" x14ac:dyDescent="0.2">
      <c r="A29" s="30" t="s">
        <v>35</v>
      </c>
      <c r="B29" s="31"/>
      <c r="D29" s="29" t="str">
        <f t="shared" si="9"/>
        <v>#define MISC_ADDR                       0x010000</v>
      </c>
      <c r="E29" s="29"/>
      <c r="F29" s="29"/>
      <c r="G29" s="29"/>
      <c r="H29" s="29"/>
      <c r="I29" s="33" t="str">
        <f t="shared" si="10"/>
        <v>#define MISC_ALLOC_SIZE                 0x022000</v>
      </c>
      <c r="J29" s="33"/>
      <c r="K29" s="33"/>
      <c r="L29" s="33"/>
    </row>
    <row r="30" spans="1:13" ht="15" x14ac:dyDescent="0.25">
      <c r="A30" s="3" t="s">
        <v>14</v>
      </c>
      <c r="B30" s="25">
        <v>64</v>
      </c>
      <c r="D30" s="29" t="str">
        <f t="shared" si="9"/>
        <v>#define MACROS_ADDR                     0x032000</v>
      </c>
      <c r="E30" s="29"/>
      <c r="F30" s="29"/>
      <c r="G30" s="29"/>
      <c r="H30" s="29"/>
      <c r="I30" s="33" t="str">
        <f t="shared" si="10"/>
        <v>#define MACROS_ALLOC_SIZE               0x003000</v>
      </c>
      <c r="J30" s="33"/>
      <c r="K30" s="33"/>
      <c r="L30" s="33"/>
    </row>
    <row r="31" spans="1:13" ht="15" x14ac:dyDescent="0.25">
      <c r="A31" s="3" t="s">
        <v>13</v>
      </c>
      <c r="B31" s="27" t="str">
        <f>DEC2HEX(B30*1024)</f>
        <v>10000</v>
      </c>
      <c r="D31" s="29" t="str">
        <f t="shared" si="9"/>
        <v>#define PAYLOAD_PROGRAM_ADDR            0x035000</v>
      </c>
      <c r="E31" s="29"/>
      <c r="F31" s="29"/>
      <c r="G31" s="29"/>
      <c r="H31" s="29"/>
      <c r="I31" s="33" t="str">
        <f t="shared" si="10"/>
        <v>#define PAYLOAD_PROGRAM_ALLOC_SIZE      0x002000</v>
      </c>
      <c r="J31" s="33"/>
      <c r="K31" s="33"/>
      <c r="L31" s="33"/>
    </row>
    <row r="32" spans="1:13" x14ac:dyDescent="0.2">
      <c r="D32" s="29" t="str">
        <f t="shared" si="9"/>
        <v>#define HEXFILE_ADDR                    0x037000</v>
      </c>
      <c r="E32" s="29"/>
      <c r="F32" s="29"/>
      <c r="G32" s="29"/>
      <c r="H32" s="29"/>
      <c r="I32" s="33" t="str">
        <f t="shared" si="10"/>
        <v>#define HEXFILE_ALLOC_SIZE              0x100000</v>
      </c>
      <c r="J32" s="33"/>
      <c r="K32" s="33"/>
      <c r="L32" s="33"/>
    </row>
    <row r="33" spans="1:12" x14ac:dyDescent="0.2">
      <c r="A33" s="30" t="s">
        <v>36</v>
      </c>
      <c r="B33" s="31"/>
      <c r="D33" s="29" t="str">
        <f t="shared" si="9"/>
        <v>#define PAYLOAD_DATA_ADDR               0x137000</v>
      </c>
      <c r="E33" s="29"/>
      <c r="F33" s="29"/>
      <c r="G33" s="29"/>
      <c r="H33" s="29"/>
      <c r="I33" s="33" t="str">
        <f t="shared" si="10"/>
        <v>#define PAYLOAD_DATA_ALLOC_SIZE         0x628000</v>
      </c>
      <c r="J33" s="33"/>
      <c r="K33" s="33"/>
      <c r="L33" s="33"/>
    </row>
    <row r="34" spans="1:12" ht="15" x14ac:dyDescent="0.25">
      <c r="A34" s="3" t="s">
        <v>16</v>
      </c>
      <c r="B34" s="25">
        <v>7</v>
      </c>
      <c r="D34" s="29" t="str">
        <f t="shared" si="9"/>
        <v>#define CONFIG_ADDR                     0x75F000</v>
      </c>
      <c r="E34" s="29"/>
      <c r="F34" s="29"/>
      <c r="G34" s="29"/>
      <c r="H34" s="29"/>
      <c r="I34" s="33" t="str">
        <f t="shared" si="10"/>
        <v>#define CONFIG_ALLOC_SIZE               0x0A0000</v>
      </c>
      <c r="J34" s="33"/>
      <c r="K34" s="33"/>
      <c r="L34" s="33"/>
    </row>
    <row r="35" spans="1:12" ht="15" x14ac:dyDescent="0.25">
      <c r="A35" s="3" t="s">
        <v>13</v>
      </c>
      <c r="B35" s="27" t="str">
        <f>DEC2HEX(B34*1024*1024)</f>
        <v>700000</v>
      </c>
      <c r="D35" s="29" t="str">
        <f t="shared" si="9"/>
        <v>#define SWAP_ADDR                       0x7FF000</v>
      </c>
      <c r="E35" s="29"/>
      <c r="F35" s="29"/>
      <c r="G35" s="29"/>
      <c r="H35" s="29"/>
      <c r="I35" s="33" t="str">
        <f t="shared" si="10"/>
        <v>#define SWAP_ALLOC_SIZE                 0x001000</v>
      </c>
      <c r="J35" s="33"/>
      <c r="K35" s="33"/>
      <c r="L35" s="33"/>
    </row>
    <row r="37" spans="1:12" x14ac:dyDescent="0.2">
      <c r="A37" s="30" t="s">
        <v>37</v>
      </c>
      <c r="B37" s="31"/>
    </row>
    <row r="38" spans="1:12" ht="15" x14ac:dyDescent="0.25">
      <c r="A38" s="3" t="s">
        <v>29</v>
      </c>
      <c r="B38" s="25" t="s">
        <v>20</v>
      </c>
    </row>
    <row r="39" spans="1:12" ht="15" x14ac:dyDescent="0.25">
      <c r="A39" s="3" t="s">
        <v>30</v>
      </c>
      <c r="B39" s="25">
        <v>9000</v>
      </c>
    </row>
    <row r="40" spans="1:12" ht="15" x14ac:dyDescent="0.25">
      <c r="A40" s="12" t="s">
        <v>31</v>
      </c>
      <c r="B40" s="27" t="str">
        <f>DEC2HEX(HEX2DEC(B38)+HEX2DEC(B39))</f>
        <v>628000</v>
      </c>
    </row>
  </sheetData>
  <mergeCells count="24">
    <mergeCell ref="I32:L32"/>
    <mergeCell ref="I33:L33"/>
    <mergeCell ref="I34:L34"/>
    <mergeCell ref="I35:L35"/>
    <mergeCell ref="D20:H27"/>
    <mergeCell ref="D28:H28"/>
    <mergeCell ref="D29:H29"/>
    <mergeCell ref="D30:H30"/>
    <mergeCell ref="I20:L27"/>
    <mergeCell ref="I28:L28"/>
    <mergeCell ref="I29:L29"/>
    <mergeCell ref="I30:L30"/>
    <mergeCell ref="I31:L31"/>
    <mergeCell ref="D31:H31"/>
    <mergeCell ref="D32:H32"/>
    <mergeCell ref="D33:H33"/>
    <mergeCell ref="D34:H34"/>
    <mergeCell ref="D35:H35"/>
    <mergeCell ref="A37:B37"/>
    <mergeCell ref="A1:B1"/>
    <mergeCell ref="A19:B19"/>
    <mergeCell ref="A25:B25"/>
    <mergeCell ref="A29:B29"/>
    <mergeCell ref="A33:B33"/>
  </mergeCells>
  <phoneticPr fontId="1" type="noConversion"/>
  <conditionalFormatting sqref="C5:I7">
    <cfRule type="cellIs" dxfId="1" priority="1" stopIfTrue="1" operator="greaterThan">
      <formula>C$2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40"/>
  <sheetViews>
    <sheetView topLeftCell="A7" zoomScale="130" zoomScaleNormal="130" workbookViewId="0">
      <selection activeCell="A11" sqref="A11"/>
    </sheetView>
  </sheetViews>
  <sheetFormatPr defaultRowHeight="12.75" x14ac:dyDescent="0.2"/>
  <cols>
    <col min="1" max="1" width="20.28515625" bestFit="1" customWidth="1"/>
    <col min="2" max="2" width="21" customWidth="1"/>
    <col min="3" max="3" width="19.7109375" customWidth="1"/>
    <col min="4" max="4" width="19.42578125" bestFit="1" customWidth="1"/>
    <col min="5" max="6" width="20" bestFit="1" customWidth="1"/>
    <col min="7" max="7" width="9" bestFit="1" customWidth="1"/>
    <col min="8" max="8" width="6.7109375" customWidth="1"/>
    <col min="9" max="9" width="8" bestFit="1" customWidth="1"/>
    <col min="10" max="10" width="17.140625" customWidth="1"/>
    <col min="11" max="11" width="12.42578125" customWidth="1"/>
    <col min="12" max="12" width="21" customWidth="1"/>
    <col min="13" max="13" width="12.42578125" bestFit="1" customWidth="1"/>
    <col min="14" max="14" width="12.5703125" customWidth="1"/>
    <col min="15" max="15" width="14.28515625" bestFit="1" customWidth="1"/>
    <col min="16" max="16" width="3" customWidth="1"/>
    <col min="17" max="17" width="11.140625" customWidth="1"/>
    <col min="18" max="18" width="13.28515625" customWidth="1"/>
  </cols>
  <sheetData>
    <row r="1" spans="1:14" ht="12.75" customHeight="1" x14ac:dyDescent="0.2">
      <c r="A1" s="31" t="s">
        <v>3</v>
      </c>
      <c r="B1" s="31"/>
    </row>
    <row r="2" spans="1:14" ht="12.75" customHeight="1" x14ac:dyDescent="0.2">
      <c r="A2" s="4" t="s">
        <v>4</v>
      </c>
      <c r="B2" s="7" t="s">
        <v>0</v>
      </c>
      <c r="C2" s="2">
        <f>HEX2DEC(B2)+1</f>
        <v>8388608</v>
      </c>
      <c r="D2" s="2">
        <f>C2/1024</f>
        <v>8192</v>
      </c>
      <c r="E2" s="2">
        <f>D2/1024</f>
        <v>8</v>
      </c>
      <c r="F2" s="6"/>
      <c r="G2" s="6"/>
      <c r="H2" s="6"/>
      <c r="I2" s="6"/>
    </row>
    <row r="3" spans="1:14" ht="12.75" customHeight="1" x14ac:dyDescent="0.2">
      <c r="D3" s="1"/>
    </row>
    <row r="4" spans="1:14" ht="12.75" customHeight="1" x14ac:dyDescent="0.2">
      <c r="A4" s="8" t="s">
        <v>22</v>
      </c>
      <c r="B4" s="9" t="str">
        <f>DEC2HEX(C4)</f>
        <v>0</v>
      </c>
      <c r="C4" s="9">
        <f>C2-C5</f>
        <v>0</v>
      </c>
      <c r="D4" s="9">
        <f>D2-D5</f>
        <v>0</v>
      </c>
      <c r="E4" s="9">
        <f>E2-E5</f>
        <v>0</v>
      </c>
    </row>
    <row r="5" spans="1:14" ht="12.75" customHeight="1" x14ac:dyDescent="0.2">
      <c r="A5" s="8" t="s">
        <v>12</v>
      </c>
      <c r="B5" s="10" t="str">
        <f>DEC2HEX(C5)</f>
        <v>800000</v>
      </c>
      <c r="C5" s="11">
        <f>SUM(D8:D16)</f>
        <v>8388608</v>
      </c>
      <c r="D5" s="11">
        <f>SUM(E8:E16)</f>
        <v>8192</v>
      </c>
      <c r="E5" s="11">
        <f>SUM(F8:F16)</f>
        <v>8</v>
      </c>
      <c r="F5" s="5"/>
      <c r="G5" s="5"/>
      <c r="H5" s="5"/>
      <c r="I5" s="5"/>
    </row>
    <row r="6" spans="1:14" ht="12.75" customHeight="1" x14ac:dyDescent="0.2">
      <c r="I6" s="5"/>
    </row>
    <row r="7" spans="1:14" ht="12.75" customHeight="1" x14ac:dyDescent="0.2">
      <c r="A7" s="17" t="s">
        <v>1</v>
      </c>
      <c r="B7" s="17" t="s">
        <v>9</v>
      </c>
      <c r="C7" s="18" t="s">
        <v>40</v>
      </c>
      <c r="D7" s="17" t="s">
        <v>10</v>
      </c>
      <c r="E7" s="17" t="s">
        <v>2</v>
      </c>
      <c r="F7" s="17" t="s">
        <v>11</v>
      </c>
      <c r="G7" s="17" t="s">
        <v>24</v>
      </c>
      <c r="H7" s="17" t="s">
        <v>23</v>
      </c>
      <c r="I7" s="17" t="s">
        <v>25</v>
      </c>
      <c r="J7" s="17" t="s">
        <v>17</v>
      </c>
      <c r="K7" s="17" t="s">
        <v>18</v>
      </c>
      <c r="L7" s="17" t="s">
        <v>26</v>
      </c>
      <c r="M7" s="17" t="s">
        <v>27</v>
      </c>
    </row>
    <row r="8" spans="1:14" ht="38.25" x14ac:dyDescent="0.2">
      <c r="A8" s="2" t="s">
        <v>5</v>
      </c>
      <c r="B8" s="21">
        <v>10000</v>
      </c>
      <c r="C8" s="20" t="s">
        <v>44</v>
      </c>
      <c r="D8" s="22">
        <f t="shared" ref="D8:D16" si="0">HEX2DEC(B8)</f>
        <v>65536</v>
      </c>
      <c r="E8" s="22">
        <f t="shared" ref="E8:F16" si="1">D8/1024</f>
        <v>64</v>
      </c>
      <c r="F8" s="22">
        <f t="shared" si="1"/>
        <v>6.25E-2</v>
      </c>
      <c r="G8" s="22">
        <f t="shared" ref="G8:G16" si="2">D8/65536</f>
        <v>1</v>
      </c>
      <c r="H8" s="23">
        <f t="shared" ref="H8:H16" si="3">D8/4096</f>
        <v>16</v>
      </c>
      <c r="I8" s="22">
        <f t="shared" ref="I8:I16" si="4">D8/256</f>
        <v>256</v>
      </c>
      <c r="J8" s="22">
        <v>0</v>
      </c>
      <c r="K8" s="22" t="str">
        <f t="shared" ref="K8:K16" si="5">DEC2HEX(J8)</f>
        <v>0</v>
      </c>
      <c r="L8" s="22" t="str">
        <f t="shared" ref="L8:L16" si="6">REPT("0",6-LEN(K8))&amp;K8</f>
        <v>000000</v>
      </c>
      <c r="M8" s="22" t="str">
        <f t="shared" ref="M8:M16" si="7">REPT("0",6-LEN(B8))&amp;B8</f>
        <v>010000</v>
      </c>
      <c r="N8" s="6"/>
    </row>
    <row r="9" spans="1:14" ht="25.5" x14ac:dyDescent="0.2">
      <c r="A9" s="2" t="s">
        <v>6</v>
      </c>
      <c r="B9" s="21">
        <v>24000</v>
      </c>
      <c r="C9" s="20" t="s">
        <v>45</v>
      </c>
      <c r="D9" s="22">
        <f t="shared" si="0"/>
        <v>147456</v>
      </c>
      <c r="E9" s="22">
        <f t="shared" si="1"/>
        <v>144</v>
      </c>
      <c r="F9" s="22">
        <f t="shared" si="1"/>
        <v>0.140625</v>
      </c>
      <c r="G9" s="22">
        <f t="shared" si="2"/>
        <v>2.25</v>
      </c>
      <c r="H9" s="23">
        <f t="shared" si="3"/>
        <v>36</v>
      </c>
      <c r="I9" s="22">
        <f t="shared" si="4"/>
        <v>576</v>
      </c>
      <c r="J9" s="22">
        <f t="shared" ref="J9:J14" si="8">J8+D8</f>
        <v>65536</v>
      </c>
      <c r="K9" s="22" t="str">
        <f t="shared" si="5"/>
        <v>10000</v>
      </c>
      <c r="L9" s="22" t="str">
        <f t="shared" si="6"/>
        <v>010000</v>
      </c>
      <c r="M9" s="22" t="str">
        <f t="shared" si="7"/>
        <v>024000</v>
      </c>
      <c r="N9" s="6"/>
    </row>
    <row r="10" spans="1:14" ht="38.25" x14ac:dyDescent="0.2">
      <c r="A10" s="24" t="s">
        <v>41</v>
      </c>
      <c r="B10" s="21">
        <v>3000</v>
      </c>
      <c r="C10" s="20" t="s">
        <v>43</v>
      </c>
      <c r="D10" s="22">
        <f t="shared" si="0"/>
        <v>12288</v>
      </c>
      <c r="E10" s="22">
        <f t="shared" si="1"/>
        <v>12</v>
      </c>
      <c r="F10" s="22">
        <f t="shared" si="1"/>
        <v>1.171875E-2</v>
      </c>
      <c r="G10" s="22">
        <f t="shared" si="2"/>
        <v>0.1875</v>
      </c>
      <c r="H10" s="23">
        <f t="shared" si="3"/>
        <v>3</v>
      </c>
      <c r="I10" s="22">
        <f t="shared" si="4"/>
        <v>48</v>
      </c>
      <c r="J10" s="22">
        <f t="shared" si="8"/>
        <v>212992</v>
      </c>
      <c r="K10" s="22" t="str">
        <f t="shared" si="5"/>
        <v>34000</v>
      </c>
      <c r="L10" s="22" t="str">
        <f t="shared" si="6"/>
        <v>034000</v>
      </c>
      <c r="M10" s="22" t="str">
        <f t="shared" si="7"/>
        <v>003000</v>
      </c>
      <c r="N10" s="6"/>
    </row>
    <row r="11" spans="1:14" ht="25.5" x14ac:dyDescent="0.2">
      <c r="A11" s="2" t="s">
        <v>28</v>
      </c>
      <c r="B11" s="21">
        <v>3000</v>
      </c>
      <c r="C11" s="20" t="s">
        <v>52</v>
      </c>
      <c r="D11" s="22">
        <f t="shared" si="0"/>
        <v>12288</v>
      </c>
      <c r="E11" s="22">
        <f t="shared" si="1"/>
        <v>12</v>
      </c>
      <c r="F11" s="22">
        <f t="shared" si="1"/>
        <v>1.171875E-2</v>
      </c>
      <c r="G11" s="22">
        <f t="shared" si="2"/>
        <v>0.1875</v>
      </c>
      <c r="H11" s="23">
        <f t="shared" si="3"/>
        <v>3</v>
      </c>
      <c r="I11" s="22">
        <f t="shared" si="4"/>
        <v>48</v>
      </c>
      <c r="J11" s="22">
        <f t="shared" si="8"/>
        <v>225280</v>
      </c>
      <c r="K11" s="22" t="str">
        <f t="shared" si="5"/>
        <v>37000</v>
      </c>
      <c r="L11" s="22" t="str">
        <f t="shared" si="6"/>
        <v>037000</v>
      </c>
      <c r="M11" s="22" t="str">
        <f t="shared" si="7"/>
        <v>003000</v>
      </c>
      <c r="N11" s="6"/>
    </row>
    <row r="12" spans="1:14" ht="25.5" x14ac:dyDescent="0.2">
      <c r="A12" s="2" t="s">
        <v>42</v>
      </c>
      <c r="B12" s="21">
        <v>2000</v>
      </c>
      <c r="C12" s="20" t="s">
        <v>47</v>
      </c>
      <c r="D12" s="22">
        <f t="shared" si="0"/>
        <v>8192</v>
      </c>
      <c r="E12" s="22">
        <f t="shared" si="1"/>
        <v>8</v>
      </c>
      <c r="F12" s="22">
        <f t="shared" si="1"/>
        <v>7.8125E-3</v>
      </c>
      <c r="G12" s="22">
        <f t="shared" si="2"/>
        <v>0.125</v>
      </c>
      <c r="H12" s="23">
        <f t="shared" si="3"/>
        <v>2</v>
      </c>
      <c r="I12" s="22">
        <f t="shared" si="4"/>
        <v>32</v>
      </c>
      <c r="J12" s="22">
        <f t="shared" si="8"/>
        <v>237568</v>
      </c>
      <c r="K12" s="22" t="str">
        <f t="shared" si="5"/>
        <v>3A000</v>
      </c>
      <c r="L12" s="22" t="str">
        <f t="shared" si="6"/>
        <v>03A000</v>
      </c>
      <c r="M12" s="22" t="str">
        <f t="shared" si="7"/>
        <v>002000</v>
      </c>
      <c r="N12" s="6"/>
    </row>
    <row r="13" spans="1:14" ht="25.5" x14ac:dyDescent="0.2">
      <c r="A13" s="2" t="s">
        <v>51</v>
      </c>
      <c r="B13" s="21">
        <v>0</v>
      </c>
      <c r="C13" s="20" t="s">
        <v>53</v>
      </c>
      <c r="D13" s="22">
        <f t="shared" si="0"/>
        <v>0</v>
      </c>
      <c r="E13" s="22">
        <f t="shared" si="1"/>
        <v>0</v>
      </c>
      <c r="F13" s="22">
        <f t="shared" si="1"/>
        <v>0</v>
      </c>
      <c r="G13" s="22">
        <f t="shared" si="2"/>
        <v>0</v>
      </c>
      <c r="H13" s="23">
        <f t="shared" si="3"/>
        <v>0</v>
      </c>
      <c r="I13" s="22">
        <f t="shared" si="4"/>
        <v>0</v>
      </c>
      <c r="J13" s="22">
        <f t="shared" si="8"/>
        <v>245760</v>
      </c>
      <c r="K13" s="22" t="str">
        <f t="shared" si="5"/>
        <v>3C000</v>
      </c>
      <c r="L13" s="22" t="str">
        <f t="shared" si="6"/>
        <v>03C000</v>
      </c>
      <c r="M13" s="22" t="str">
        <f t="shared" si="7"/>
        <v>000000</v>
      </c>
      <c r="N13" s="6"/>
    </row>
    <row r="14" spans="1:14" ht="38.25" x14ac:dyDescent="0.2">
      <c r="A14" s="2" t="s">
        <v>7</v>
      </c>
      <c r="B14" s="21">
        <v>1000</v>
      </c>
      <c r="C14" s="20" t="s">
        <v>54</v>
      </c>
      <c r="D14" s="22">
        <f t="shared" si="0"/>
        <v>4096</v>
      </c>
      <c r="E14" s="22">
        <f t="shared" si="1"/>
        <v>4</v>
      </c>
      <c r="F14" s="22">
        <f t="shared" si="1"/>
        <v>3.90625E-3</v>
      </c>
      <c r="G14" s="22">
        <f t="shared" si="2"/>
        <v>6.25E-2</v>
      </c>
      <c r="H14" s="23">
        <f t="shared" si="3"/>
        <v>1</v>
      </c>
      <c r="I14" s="22">
        <f t="shared" si="4"/>
        <v>16</v>
      </c>
      <c r="J14" s="22">
        <f t="shared" si="8"/>
        <v>245760</v>
      </c>
      <c r="K14" s="22" t="str">
        <f t="shared" si="5"/>
        <v>3C000</v>
      </c>
      <c r="L14" s="22" t="str">
        <f t="shared" si="6"/>
        <v>03C000</v>
      </c>
      <c r="M14" s="22" t="str">
        <f t="shared" si="7"/>
        <v>001000</v>
      </c>
      <c r="N14" s="6"/>
    </row>
    <row r="15" spans="1:14" ht="15" x14ac:dyDescent="0.2">
      <c r="A15" s="2" t="s">
        <v>8</v>
      </c>
      <c r="B15" s="21" t="s">
        <v>32</v>
      </c>
      <c r="C15" s="20" t="s">
        <v>46</v>
      </c>
      <c r="D15" s="22">
        <f t="shared" si="0"/>
        <v>8134656</v>
      </c>
      <c r="E15" s="22">
        <f t="shared" si="1"/>
        <v>7944</v>
      </c>
      <c r="F15" s="22">
        <f t="shared" si="1"/>
        <v>7.7578125</v>
      </c>
      <c r="G15" s="22">
        <f>D15/65536</f>
        <v>124.125</v>
      </c>
      <c r="H15" s="23">
        <f>D15/4096</f>
        <v>1986</v>
      </c>
      <c r="I15" s="22">
        <f>D15/256</f>
        <v>31776</v>
      </c>
      <c r="J15" s="22">
        <f>J14+D14</f>
        <v>249856</v>
      </c>
      <c r="K15" s="22" t="str">
        <f t="shared" si="5"/>
        <v>3D000</v>
      </c>
      <c r="L15" s="22" t="str">
        <f t="shared" si="6"/>
        <v>03D000</v>
      </c>
      <c r="M15" s="22" t="str">
        <f t="shared" si="7"/>
        <v>7c2000</v>
      </c>
      <c r="N15" s="6"/>
    </row>
    <row r="16" spans="1:14" ht="25.5" x14ac:dyDescent="0.2">
      <c r="A16" s="13" t="s">
        <v>21</v>
      </c>
      <c r="B16" s="21">
        <v>1000</v>
      </c>
      <c r="C16" s="20" t="s">
        <v>48</v>
      </c>
      <c r="D16" s="22">
        <f t="shared" si="0"/>
        <v>4096</v>
      </c>
      <c r="E16" s="22">
        <f t="shared" si="1"/>
        <v>4</v>
      </c>
      <c r="F16" s="22">
        <f t="shared" si="1"/>
        <v>3.90625E-3</v>
      </c>
      <c r="G16" s="22">
        <f t="shared" si="2"/>
        <v>6.25E-2</v>
      </c>
      <c r="H16" s="23">
        <f t="shared" si="3"/>
        <v>1</v>
      </c>
      <c r="I16" s="22">
        <f t="shared" si="4"/>
        <v>16</v>
      </c>
      <c r="J16" s="22">
        <f>J15+D15</f>
        <v>8384512</v>
      </c>
      <c r="K16" s="22" t="str">
        <f t="shared" si="5"/>
        <v>7FF000</v>
      </c>
      <c r="L16" s="22" t="str">
        <f t="shared" si="6"/>
        <v>7FF000</v>
      </c>
      <c r="M16" s="22" t="str">
        <f t="shared" si="7"/>
        <v>001000</v>
      </c>
    </row>
    <row r="17" spans="1:12" x14ac:dyDescent="0.2">
      <c r="C17" s="16"/>
      <c r="D17" s="16"/>
      <c r="E17" s="16"/>
      <c r="F17" s="16"/>
      <c r="G17" s="16"/>
      <c r="H17" s="16"/>
      <c r="I17" s="22">
        <f>J16+D16</f>
        <v>8388608</v>
      </c>
      <c r="J17" s="22"/>
      <c r="K17" s="22"/>
      <c r="L17" s="22"/>
    </row>
    <row r="19" spans="1:12" x14ac:dyDescent="0.2">
      <c r="A19" s="30" t="s">
        <v>33</v>
      </c>
      <c r="B19" s="31"/>
    </row>
    <row r="20" spans="1:12" ht="15" x14ac:dyDescent="0.25">
      <c r="A20" s="3" t="s">
        <v>13</v>
      </c>
      <c r="B20" s="25">
        <v>10000</v>
      </c>
      <c r="D20" s="34" t="s">
        <v>49</v>
      </c>
      <c r="E20" s="34"/>
      <c r="F20" s="34"/>
      <c r="G20" s="34"/>
      <c r="H20" s="34"/>
      <c r="I20" s="35" t="s">
        <v>50</v>
      </c>
      <c r="J20" s="35"/>
      <c r="K20" s="35"/>
      <c r="L20" s="35"/>
    </row>
    <row r="21" spans="1:12" ht="15" x14ac:dyDescent="0.25">
      <c r="A21" s="3" t="s">
        <v>15</v>
      </c>
      <c r="B21" s="26">
        <f>HEX2DEC(B20)</f>
        <v>65536</v>
      </c>
      <c r="D21" s="34"/>
      <c r="E21" s="34"/>
      <c r="F21" s="34"/>
      <c r="G21" s="34"/>
      <c r="H21" s="34"/>
      <c r="I21" s="35"/>
      <c r="J21" s="35"/>
      <c r="K21" s="35"/>
      <c r="L21" s="35"/>
    </row>
    <row r="22" spans="1:12" ht="15" x14ac:dyDescent="0.25">
      <c r="A22" s="3" t="s">
        <v>14</v>
      </c>
      <c r="B22" s="26">
        <f>B21/1024</f>
        <v>64</v>
      </c>
      <c r="D22" s="34"/>
      <c r="E22" s="34"/>
      <c r="F22" s="34"/>
      <c r="G22" s="34"/>
      <c r="H22" s="34"/>
      <c r="I22" s="35"/>
      <c r="J22" s="35"/>
      <c r="K22" s="35"/>
      <c r="L22" s="35"/>
    </row>
    <row r="23" spans="1:12" ht="15" x14ac:dyDescent="0.25">
      <c r="A23" s="3" t="s">
        <v>16</v>
      </c>
      <c r="B23" s="26">
        <f>B22/1024</f>
        <v>6.25E-2</v>
      </c>
      <c r="D23" s="34"/>
      <c r="E23" s="34"/>
      <c r="F23" s="34"/>
      <c r="G23" s="34"/>
      <c r="H23" s="34"/>
      <c r="I23" s="35"/>
      <c r="J23" s="35"/>
      <c r="K23" s="35"/>
      <c r="L23" s="35"/>
    </row>
    <row r="24" spans="1:12" x14ac:dyDescent="0.2">
      <c r="D24" s="34"/>
      <c r="E24" s="34"/>
      <c r="F24" s="34"/>
      <c r="G24" s="34"/>
      <c r="H24" s="34"/>
      <c r="I24" s="35"/>
      <c r="J24" s="35"/>
      <c r="K24" s="35"/>
      <c r="L24" s="35"/>
    </row>
    <row r="25" spans="1:12" x14ac:dyDescent="0.2">
      <c r="A25" s="30" t="s">
        <v>34</v>
      </c>
      <c r="B25" s="31"/>
      <c r="D25" s="34"/>
      <c r="E25" s="34"/>
      <c r="F25" s="34"/>
      <c r="G25" s="34"/>
      <c r="H25" s="34"/>
      <c r="I25" s="35"/>
      <c r="J25" s="35"/>
      <c r="K25" s="35"/>
      <c r="L25" s="35"/>
    </row>
    <row r="26" spans="1:12" ht="15" x14ac:dyDescent="0.25">
      <c r="A26" s="3" t="s">
        <v>15</v>
      </c>
      <c r="B26" s="25">
        <v>256</v>
      </c>
      <c r="D26" s="34"/>
      <c r="E26" s="34"/>
      <c r="F26" s="34"/>
      <c r="G26" s="34"/>
      <c r="H26" s="34"/>
      <c r="I26" s="35"/>
      <c r="J26" s="35"/>
      <c r="K26" s="35"/>
      <c r="L26" s="35"/>
    </row>
    <row r="27" spans="1:12" ht="15" x14ac:dyDescent="0.25">
      <c r="A27" s="3" t="s">
        <v>13</v>
      </c>
      <c r="B27" s="27" t="str">
        <f>DEC2HEX(B26)</f>
        <v>100</v>
      </c>
      <c r="D27" s="34"/>
      <c r="E27" s="34"/>
      <c r="F27" s="34"/>
      <c r="G27" s="34"/>
      <c r="H27" s="34"/>
      <c r="I27" s="35"/>
      <c r="J27" s="35"/>
      <c r="K27" s="35"/>
      <c r="L27" s="35"/>
    </row>
    <row r="28" spans="1:12" x14ac:dyDescent="0.2">
      <c r="D28" s="29" t="str">
        <f t="shared" ref="D28:D36" si="9">LEFT("#define "&amp;A8&amp;"_ADDR"&amp;REPT(" ",25),25)&amp;"0x"&amp;L8</f>
        <v>#define RESERVED_ADDR    0x000000</v>
      </c>
      <c r="E28" s="29"/>
      <c r="F28" s="29"/>
      <c r="G28" s="29"/>
      <c r="H28" s="29"/>
      <c r="I28" s="33" t="str">
        <f t="shared" ref="I28:I36" si="10">LEFT("#define "&amp;A8&amp;"_ALLOC_SIZE"&amp;REPT(" ",30),30)&amp;"0x"&amp;M8</f>
        <v>#define RESERVED_ALLOC_SIZE   0x010000</v>
      </c>
      <c r="J28" s="33"/>
      <c r="K28" s="33"/>
      <c r="L28" s="33"/>
    </row>
    <row r="29" spans="1:12" x14ac:dyDescent="0.2">
      <c r="A29" s="30" t="s">
        <v>35</v>
      </c>
      <c r="B29" s="31"/>
      <c r="D29" s="29" t="str">
        <f t="shared" si="9"/>
        <v>#define MISC_ADDR        0x010000</v>
      </c>
      <c r="E29" s="29"/>
      <c r="F29" s="29"/>
      <c r="G29" s="29"/>
      <c r="H29" s="29"/>
      <c r="I29" s="33" t="str">
        <f t="shared" si="10"/>
        <v>#define MISC_ALLOC_SIZE       0x024000</v>
      </c>
      <c r="J29" s="33"/>
      <c r="K29" s="33"/>
      <c r="L29" s="33"/>
    </row>
    <row r="30" spans="1:12" ht="15" x14ac:dyDescent="0.25">
      <c r="A30" s="3" t="s">
        <v>14</v>
      </c>
      <c r="B30" s="25">
        <v>64</v>
      </c>
      <c r="D30" s="29" t="str">
        <f t="shared" si="9"/>
        <v>#define MACROS_ADDR      0x034000</v>
      </c>
      <c r="E30" s="29"/>
      <c r="F30" s="29"/>
      <c r="G30" s="29"/>
      <c r="H30" s="29"/>
      <c r="I30" s="33" t="str">
        <f t="shared" si="10"/>
        <v>#define MACROS_ALLOC_SIZE     0x003000</v>
      </c>
      <c r="J30" s="33"/>
      <c r="K30" s="33"/>
      <c r="L30" s="33"/>
    </row>
    <row r="31" spans="1:12" ht="15" x14ac:dyDescent="0.25">
      <c r="A31" s="3" t="s">
        <v>13</v>
      </c>
      <c r="B31" s="27" t="str">
        <f>DEC2HEX(B30*1024)</f>
        <v>10000</v>
      </c>
      <c r="D31" s="29" t="str">
        <f t="shared" si="9"/>
        <v>#define GNC_INPUTS_ADDR  0x037000</v>
      </c>
      <c r="E31" s="29"/>
      <c r="F31" s="29"/>
      <c r="G31" s="29"/>
      <c r="H31" s="29"/>
      <c r="I31" s="33" t="str">
        <f t="shared" si="10"/>
        <v>#define GNC_INPUTS_ALLOC_SIZE 0x003000</v>
      </c>
      <c r="J31" s="33"/>
      <c r="K31" s="33"/>
      <c r="L31" s="33"/>
    </row>
    <row r="32" spans="1:12" x14ac:dyDescent="0.2">
      <c r="D32" s="29" t="str">
        <f t="shared" si="9"/>
        <v>#define CONFIG_ADDR      0x03A000</v>
      </c>
      <c r="E32" s="29"/>
      <c r="F32" s="29"/>
      <c r="G32" s="29"/>
      <c r="H32" s="29"/>
      <c r="I32" s="33" t="str">
        <f t="shared" si="10"/>
        <v>#define CONFIG_ALLOC_SIZE     0x002000</v>
      </c>
      <c r="J32" s="33"/>
      <c r="K32" s="33"/>
      <c r="L32" s="33"/>
    </row>
    <row r="33" spans="1:12" x14ac:dyDescent="0.2">
      <c r="A33" s="30" t="s">
        <v>36</v>
      </c>
      <c r="B33" s="31"/>
      <c r="D33" s="29" t="str">
        <f t="shared" si="9"/>
        <v>#define TEXT_MSG_ADDR    0x03C000</v>
      </c>
      <c r="E33" s="29"/>
      <c r="F33" s="29"/>
      <c r="G33" s="29"/>
      <c r="H33" s="29"/>
      <c r="I33" s="33" t="str">
        <f t="shared" si="10"/>
        <v>#define TEXT_MSG_ALLOC_SIZE   0x000000</v>
      </c>
      <c r="J33" s="33"/>
      <c r="K33" s="33"/>
      <c r="L33" s="33"/>
    </row>
    <row r="34" spans="1:12" ht="15" x14ac:dyDescent="0.25">
      <c r="A34" s="3" t="s">
        <v>16</v>
      </c>
      <c r="B34" s="14">
        <v>7</v>
      </c>
      <c r="D34" s="29" t="str">
        <f t="shared" si="9"/>
        <v>#define MAG_COEFF_ADDR   0x03C000</v>
      </c>
      <c r="E34" s="29"/>
      <c r="F34" s="29"/>
      <c r="G34" s="29"/>
      <c r="H34" s="29"/>
      <c r="I34" s="33" t="str">
        <f t="shared" si="10"/>
        <v>#define MAG_COEFF_ALLOC_SIZE  0x001000</v>
      </c>
      <c r="J34" s="33"/>
      <c r="K34" s="33"/>
      <c r="L34" s="33"/>
    </row>
    <row r="35" spans="1:12" ht="15" x14ac:dyDescent="0.25">
      <c r="A35" s="3" t="s">
        <v>13</v>
      </c>
      <c r="B35" s="15" t="str">
        <f>DEC2HEX(B34*1024*1024)</f>
        <v>700000</v>
      </c>
      <c r="D35" s="29" t="str">
        <f t="shared" si="9"/>
        <v>#define HEXFILE_ADDR     0x03D000</v>
      </c>
      <c r="E35" s="29"/>
      <c r="F35" s="29"/>
      <c r="G35" s="29"/>
      <c r="H35" s="29"/>
      <c r="I35" s="33" t="str">
        <f t="shared" si="10"/>
        <v>#define HEXFILE_ALLOC_SIZE    0x7c2000</v>
      </c>
      <c r="J35" s="33"/>
      <c r="K35" s="33"/>
      <c r="L35" s="33"/>
    </row>
    <row r="36" spans="1:12" x14ac:dyDescent="0.2">
      <c r="D36" s="29" t="str">
        <f t="shared" si="9"/>
        <v>#define SWAP_ADDR        0x7FF000</v>
      </c>
      <c r="E36" s="29"/>
      <c r="F36" s="29"/>
      <c r="G36" s="29"/>
      <c r="H36" s="29"/>
      <c r="I36" s="33" t="str">
        <f t="shared" si="10"/>
        <v>#define SWAP_ALLOC_SIZE       0x001000</v>
      </c>
      <c r="J36" s="33"/>
      <c r="K36" s="33"/>
      <c r="L36" s="33"/>
    </row>
    <row r="37" spans="1:12" x14ac:dyDescent="0.2">
      <c r="A37" s="30" t="s">
        <v>37</v>
      </c>
      <c r="B37" s="31"/>
    </row>
    <row r="38" spans="1:12" ht="15" x14ac:dyDescent="0.25">
      <c r="A38" s="3" t="s">
        <v>29</v>
      </c>
      <c r="B38" s="25" t="s">
        <v>20</v>
      </c>
    </row>
    <row r="39" spans="1:12" ht="15" x14ac:dyDescent="0.25">
      <c r="A39" s="3" t="s">
        <v>30</v>
      </c>
      <c r="B39" s="25">
        <v>9000</v>
      </c>
    </row>
    <row r="40" spans="1:12" ht="15" x14ac:dyDescent="0.25">
      <c r="A40" s="12" t="s">
        <v>31</v>
      </c>
      <c r="B40" s="27" t="str">
        <f>DEC2HEX(HEX2DEC(B38)+HEX2DEC(B39))</f>
        <v>628000</v>
      </c>
    </row>
  </sheetData>
  <mergeCells count="26">
    <mergeCell ref="I34:L34"/>
    <mergeCell ref="D35:H35"/>
    <mergeCell ref="I35:L35"/>
    <mergeCell ref="D36:H36"/>
    <mergeCell ref="I36:L36"/>
    <mergeCell ref="I30:L30"/>
    <mergeCell ref="I31:L31"/>
    <mergeCell ref="D32:H32"/>
    <mergeCell ref="I32:L32"/>
    <mergeCell ref="D33:H33"/>
    <mergeCell ref="I33:L33"/>
    <mergeCell ref="A33:B33"/>
    <mergeCell ref="A37:B37"/>
    <mergeCell ref="D20:H27"/>
    <mergeCell ref="D28:H28"/>
    <mergeCell ref="D31:H31"/>
    <mergeCell ref="D34:H34"/>
    <mergeCell ref="D29:H29"/>
    <mergeCell ref="D30:H30"/>
    <mergeCell ref="A1:B1"/>
    <mergeCell ref="A19:B19"/>
    <mergeCell ref="I20:L27"/>
    <mergeCell ref="A25:B25"/>
    <mergeCell ref="A29:B29"/>
    <mergeCell ref="I28:L28"/>
    <mergeCell ref="I29:L29"/>
  </mergeCells>
  <phoneticPr fontId="1" type="noConversion"/>
  <conditionalFormatting sqref="C5:I5 I6">
    <cfRule type="cellIs" dxfId="0" priority="1" stopIfTrue="1" operator="greaterThan">
      <formula>C$2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Upper</vt:lpstr>
      <vt:lpstr>Lower</vt:lpstr>
    </vt:vector>
  </TitlesOfParts>
  <Company>USC/ISI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Aherne</dc:creator>
  <cp:lastModifiedBy>Drogon</cp:lastModifiedBy>
  <dcterms:created xsi:type="dcterms:W3CDTF">2010-10-15T23:51:24Z</dcterms:created>
  <dcterms:modified xsi:type="dcterms:W3CDTF">2021-09-01T23:00:25Z</dcterms:modified>
</cp:coreProperties>
</file>